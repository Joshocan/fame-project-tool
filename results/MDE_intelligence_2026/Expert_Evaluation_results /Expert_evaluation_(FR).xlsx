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0" documentId="8_{A952DD21-0213-409E-856A-ACB5103B24D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pert Evaluation" sheetId="4" r:id="rId1"/>
    <sheet name="Instruc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tmYlIhJ96QvJfEjmI5lDJW6GkUQ2ODnbwnbm+do9gQ="/>
    </ext>
  </extLst>
</workbook>
</file>

<file path=xl/calcChain.xml><?xml version="1.0" encoding="utf-8"?>
<calcChain xmlns="http://schemas.openxmlformats.org/spreadsheetml/2006/main"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</calcChain>
</file>

<file path=xl/sharedStrings.xml><?xml version="1.0" encoding="utf-8"?>
<sst xmlns="http://schemas.openxmlformats.org/spreadsheetml/2006/main" count="79" uniqueCount="38">
  <si>
    <t>Pipeline</t>
  </si>
  <si>
    <t>FM_ID</t>
  </si>
  <si>
    <t>Relevance (Y/N)</t>
  </si>
  <si>
    <t>Feature Correctness (0-10)</t>
  </si>
  <si>
    <t>Structural Quality (0-10)</t>
  </si>
  <si>
    <t>Constraint Validity (0-10)</t>
  </si>
  <si>
    <t>Overall Score (0-10)</t>
  </si>
  <si>
    <t>Comments</t>
  </si>
  <si>
    <t>IS-NonRAG</t>
  </si>
  <si>
    <t>rank01_glm-4.7</t>
  </si>
  <si>
    <t>Y</t>
  </si>
  <si>
    <t>IS-RAG</t>
  </si>
  <si>
    <t>rank01_gpt-oss-120b</t>
  </si>
  <si>
    <t>SS-NonRAG</t>
  </si>
  <si>
    <t>SS-RAG</t>
  </si>
  <si>
    <t>rank02_gemini-3.1</t>
  </si>
  <si>
    <t>rank02_glm-4-7</t>
  </si>
  <si>
    <t>rank02_gpt-oss-120b</t>
  </si>
  <si>
    <t>rank03_deepseek-v3.2</t>
  </si>
  <si>
    <t>rank03_gpt-oss-120b</t>
  </si>
  <si>
    <t>rank04_deepseek-v3-2</t>
  </si>
  <si>
    <t>rank04_gemini-3.1</t>
  </si>
  <si>
    <t>rank04_gpt-oss-120b</t>
  </si>
  <si>
    <t>rank05_deepseek-v3-2</t>
  </si>
  <si>
    <t>rank05_gemini-3.1</t>
  </si>
  <si>
    <t>rank05_glm-4-7</t>
  </si>
  <si>
    <t>rank05_gpt-oss-120b</t>
  </si>
  <si>
    <t>Instructions for Expert Evaluation:</t>
  </si>
  <si>
    <t>For each Feature Model (FM), please evaluate based on:</t>
  </si>
  <si>
    <t>1. Relevance: Does the model reflect the domain? (Y/N)</t>
  </si>
  <si>
    <t>2. Feature Correctness: Accuracy of features (0–10)</t>
  </si>
  <si>
    <t>3. Structural Quality: Hierarchy and organization (0–10)</t>
  </si>
  <si>
    <t>4. Constraint Validity: Correctness of constraints (0–10)</t>
  </si>
  <si>
    <t>5. Overall Score: Overall quality judgment (0–10)</t>
  </si>
  <si>
    <t>You may refer to the ground-truth model, but do not require exact matching.</t>
  </si>
  <si>
    <t>Focus on semantic correctness and usefulness.</t>
  </si>
  <si>
    <t>Comments are optional but highly valuable.</t>
  </si>
  <si>
    <t>FM_ID: eg. rank03_deepseek-v3-2, rank02_gpt-oss-120b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</si>
</sst>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9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93AD46-A417-4653-8D57-B0A68AD82C5D}" name="Table13" displayName="Table13" ref="A1:H21" totalsRowShown="0" headerRowDxfId="8">
  <autoFilter ref="A1:H21" xr:uid="{C92EE3BC-93BF-48DF-9238-28F00877AE19}"/>
  <sortState xmlns:xlrd2="http://schemas.microsoft.com/office/spreadsheetml/2017/richdata2" ref="A2:H21">
    <sortCondition ref="B1:B21"/>
  </sortState>
  <tableColumns count="8">
    <tableColumn id="1" xr3:uid="{1EF11A15-4329-42CB-9B5A-AC3A5EDA8F34}" name="Pipeline" dataDxfId="7"/>
    <tableColumn id="2" xr3:uid="{A6FACE06-6227-4DA9-8D90-4343DC16ACBF}" name="FM_ID" dataDxfId="6"/>
    <tableColumn id="3" xr3:uid="{F7D0C71E-D529-40E2-AB97-D6E8BEE64C0B}" name="Relevance (Y/N)" dataDxfId="5"/>
    <tableColumn id="4" xr3:uid="{52DC1B02-4437-4C71-BAB3-9285A687757F}" name="Feature Correctness (0-10)" dataDxfId="4"/>
    <tableColumn id="5" xr3:uid="{849158F8-02B9-40E7-A448-8D93891151AB}" name="Structural Quality (0-10)" dataDxfId="3"/>
    <tableColumn id="6" xr3:uid="{0801579A-2EB6-4C54-93A2-B2A6375C1D4C}" name="Constraint Validity (0-10)" dataDxfId="2"/>
    <tableColumn id="7" xr3:uid="{A9859BF2-9BA9-41B4-87EA-E4087D61A440}" name="Overall Score (0-10)" dataDxfId="1">
      <calculatedColumnFormula>ROUNDUP((D2+E2+F2)/3,1)</calculatedColumnFormula>
    </tableColumn>
    <tableColumn id="8" xr3:uid="{79C3FD00-6E32-4606-8F3C-D27C82138825}" name="Comment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74899-D40A-47E6-962B-8A987DEB00AA}">
  <dimension ref="A1:Z980"/>
  <sheetViews>
    <sheetView tabSelected="1" workbookViewId="0">
      <selection activeCell="G16" sqref="G16"/>
    </sheetView>
  </sheetViews>
  <sheetFormatPr defaultColWidth="14.42578125" defaultRowHeight="15" customHeight="1"/>
  <cols>
    <col min="1" max="1" width="20.28515625" customWidth="1"/>
    <col min="2" max="2" width="23.85546875" customWidth="1"/>
    <col min="3" max="3" width="17.85546875" bestFit="1" customWidth="1"/>
    <col min="4" max="4" width="27.42578125" customWidth="1"/>
    <col min="5" max="5" width="27" customWidth="1"/>
    <col min="6" max="6" width="29" customWidth="1"/>
    <col min="7" max="7" width="21.28515625" customWidth="1"/>
    <col min="8" max="8" width="30.140625" customWidth="1"/>
    <col min="9" max="26" width="8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 t="s">
        <v>8</v>
      </c>
      <c r="B2" s="3" t="s">
        <v>9</v>
      </c>
      <c r="C2" s="4" t="s">
        <v>10</v>
      </c>
      <c r="D2" s="4">
        <v>6</v>
      </c>
      <c r="E2" s="4">
        <v>5</v>
      </c>
      <c r="F2" s="4">
        <v>5</v>
      </c>
      <c r="G2" s="4">
        <f t="shared" ref="G2:G21" si="0">ROUNDUP((D2+E2+F2)/3,1)</f>
        <v>5.3999999999999995</v>
      </c>
      <c r="H2" s="4"/>
    </row>
    <row r="3" spans="1:26">
      <c r="A3" s="3" t="s">
        <v>11</v>
      </c>
      <c r="B3" s="3" t="s">
        <v>12</v>
      </c>
      <c r="C3" s="4" t="s">
        <v>10</v>
      </c>
      <c r="D3" s="4">
        <v>7</v>
      </c>
      <c r="E3" s="4">
        <v>7</v>
      </c>
      <c r="F3" s="4">
        <v>7</v>
      </c>
      <c r="G3" s="4">
        <f t="shared" si="0"/>
        <v>7</v>
      </c>
      <c r="H3" s="4"/>
    </row>
    <row r="4" spans="1:26" ht="15" customHeight="1">
      <c r="A4" s="4" t="s">
        <v>13</v>
      </c>
      <c r="B4" s="4" t="s">
        <v>12</v>
      </c>
      <c r="C4" s="4" t="s">
        <v>10</v>
      </c>
      <c r="D4" s="4">
        <v>5</v>
      </c>
      <c r="E4" s="4">
        <v>5</v>
      </c>
      <c r="F4" s="4">
        <v>4</v>
      </c>
      <c r="G4" s="4">
        <f t="shared" si="0"/>
        <v>4.6999999999999993</v>
      </c>
      <c r="H4" s="4"/>
    </row>
    <row r="5" spans="1:26" ht="15" customHeight="1">
      <c r="A5" s="4" t="s">
        <v>14</v>
      </c>
      <c r="B5" s="4" t="s">
        <v>12</v>
      </c>
      <c r="C5" s="4" t="s">
        <v>10</v>
      </c>
      <c r="D5" s="4">
        <v>6</v>
      </c>
      <c r="E5" s="4">
        <v>5</v>
      </c>
      <c r="F5" s="4">
        <v>4</v>
      </c>
      <c r="G5" s="4">
        <f t="shared" si="0"/>
        <v>5</v>
      </c>
      <c r="H5" s="4"/>
    </row>
    <row r="6" spans="1:26" ht="15" customHeight="1">
      <c r="A6" s="4" t="s">
        <v>8</v>
      </c>
      <c r="B6" s="4" t="s">
        <v>15</v>
      </c>
      <c r="C6" s="4" t="s">
        <v>10</v>
      </c>
      <c r="D6" s="4">
        <v>4.5</v>
      </c>
      <c r="E6" s="4">
        <v>4</v>
      </c>
      <c r="F6" s="4">
        <v>4</v>
      </c>
      <c r="G6" s="4">
        <f t="shared" si="0"/>
        <v>4.1999999999999993</v>
      </c>
      <c r="H6" s="4"/>
    </row>
    <row r="7" spans="1:26" ht="15" customHeight="1">
      <c r="A7" s="4" t="s">
        <v>11</v>
      </c>
      <c r="B7" s="4" t="s">
        <v>16</v>
      </c>
      <c r="C7" s="4" t="s">
        <v>10</v>
      </c>
      <c r="D7" s="4">
        <v>5</v>
      </c>
      <c r="E7" s="4">
        <v>4</v>
      </c>
      <c r="F7" s="4">
        <v>4</v>
      </c>
      <c r="G7" s="4">
        <f t="shared" si="0"/>
        <v>4.3999999999999995</v>
      </c>
      <c r="H7" s="4"/>
    </row>
    <row r="8" spans="1:26" ht="15" customHeight="1">
      <c r="A8" s="4" t="s">
        <v>13</v>
      </c>
      <c r="B8" s="4" t="s">
        <v>17</v>
      </c>
      <c r="C8" s="4" t="s">
        <v>10</v>
      </c>
      <c r="D8" s="4">
        <v>5</v>
      </c>
      <c r="E8" s="4">
        <v>7</v>
      </c>
      <c r="F8" s="4">
        <v>4</v>
      </c>
      <c r="G8" s="4">
        <f t="shared" si="0"/>
        <v>5.3999999999999995</v>
      </c>
      <c r="H8" s="4"/>
    </row>
    <row r="9" spans="1:26" ht="15" customHeight="1">
      <c r="A9" s="4" t="s">
        <v>14</v>
      </c>
      <c r="B9" s="4" t="s">
        <v>17</v>
      </c>
      <c r="C9" s="4" t="s">
        <v>10</v>
      </c>
      <c r="D9" s="4">
        <v>5.5</v>
      </c>
      <c r="E9" s="4">
        <v>6</v>
      </c>
      <c r="F9" s="4">
        <v>4</v>
      </c>
      <c r="G9" s="4">
        <f t="shared" si="0"/>
        <v>5.1999999999999993</v>
      </c>
      <c r="H9" s="4"/>
    </row>
    <row r="10" spans="1:26" ht="15" customHeight="1">
      <c r="A10" s="4" t="s">
        <v>8</v>
      </c>
      <c r="B10" s="4" t="s">
        <v>18</v>
      </c>
      <c r="C10" s="4" t="s">
        <v>10</v>
      </c>
      <c r="D10" s="4">
        <v>4</v>
      </c>
      <c r="E10" s="4">
        <v>4</v>
      </c>
      <c r="F10" s="4">
        <v>4</v>
      </c>
      <c r="G10" s="4">
        <f t="shared" si="0"/>
        <v>4</v>
      </c>
      <c r="H10" s="4"/>
    </row>
    <row r="11" spans="1:26" ht="15" customHeight="1">
      <c r="A11" s="4" t="s">
        <v>11</v>
      </c>
      <c r="B11" s="4" t="s">
        <v>19</v>
      </c>
      <c r="C11" s="4" t="s">
        <v>10</v>
      </c>
      <c r="D11" s="4">
        <v>5</v>
      </c>
      <c r="E11" s="4">
        <v>5.5</v>
      </c>
      <c r="F11" s="4">
        <v>5</v>
      </c>
      <c r="G11" s="4">
        <f t="shared" si="0"/>
        <v>5.1999999999999993</v>
      </c>
      <c r="H11" s="4"/>
    </row>
    <row r="12" spans="1:26" ht="15" customHeight="1">
      <c r="A12" s="4" t="s">
        <v>13</v>
      </c>
      <c r="B12" s="4" t="s">
        <v>19</v>
      </c>
      <c r="C12" s="4" t="s">
        <v>10</v>
      </c>
      <c r="D12" s="4">
        <v>5</v>
      </c>
      <c r="E12" s="4">
        <v>4.5</v>
      </c>
      <c r="F12" s="4">
        <v>4</v>
      </c>
      <c r="G12" s="4">
        <f t="shared" si="0"/>
        <v>4.5</v>
      </c>
      <c r="H12" s="4"/>
    </row>
    <row r="13" spans="1:26" ht="15" customHeight="1">
      <c r="A13" s="4" t="s">
        <v>14</v>
      </c>
      <c r="B13" s="4" t="s">
        <v>19</v>
      </c>
      <c r="C13" s="4" t="s">
        <v>10</v>
      </c>
      <c r="D13" s="4">
        <v>4</v>
      </c>
      <c r="E13" s="4">
        <v>4</v>
      </c>
      <c r="F13" s="4">
        <v>4</v>
      </c>
      <c r="G13" s="4">
        <f t="shared" si="0"/>
        <v>4</v>
      </c>
      <c r="H13" s="4"/>
    </row>
    <row r="14" spans="1:26" ht="15" customHeight="1">
      <c r="A14" s="4" t="s">
        <v>13</v>
      </c>
      <c r="B14" s="4" t="s">
        <v>20</v>
      </c>
      <c r="C14" s="4" t="s">
        <v>10</v>
      </c>
      <c r="D14" s="4">
        <v>4.5</v>
      </c>
      <c r="E14" s="4">
        <v>5</v>
      </c>
      <c r="F14" s="4">
        <v>5</v>
      </c>
      <c r="G14" s="4">
        <f t="shared" si="0"/>
        <v>4.8999999999999995</v>
      </c>
      <c r="H14" s="4"/>
    </row>
    <row r="15" spans="1:26" ht="15" customHeight="1">
      <c r="A15" s="4" t="s">
        <v>8</v>
      </c>
      <c r="B15" s="4" t="s">
        <v>21</v>
      </c>
      <c r="C15" s="4" t="s">
        <v>10</v>
      </c>
      <c r="D15" s="4">
        <v>3</v>
      </c>
      <c r="E15" s="4">
        <v>3</v>
      </c>
      <c r="F15" s="4">
        <v>4</v>
      </c>
      <c r="G15" s="4">
        <f t="shared" si="0"/>
        <v>3.4</v>
      </c>
      <c r="H15" s="4"/>
    </row>
    <row r="16" spans="1:26" ht="15" customHeight="1">
      <c r="A16" s="4" t="s">
        <v>11</v>
      </c>
      <c r="B16" s="4" t="s">
        <v>22</v>
      </c>
      <c r="C16" s="4" t="s">
        <v>10</v>
      </c>
      <c r="D16" s="4">
        <v>6.5</v>
      </c>
      <c r="E16" s="4">
        <v>6</v>
      </c>
      <c r="F16" s="4">
        <v>5</v>
      </c>
      <c r="G16" s="4">
        <f t="shared" si="0"/>
        <v>5.8999999999999995</v>
      </c>
      <c r="H16" s="4"/>
    </row>
    <row r="17" spans="1:8" ht="15" customHeight="1">
      <c r="A17" s="4" t="s">
        <v>14</v>
      </c>
      <c r="B17" s="4" t="s">
        <v>22</v>
      </c>
      <c r="C17" s="4" t="s">
        <v>10</v>
      </c>
      <c r="D17" s="4">
        <v>5</v>
      </c>
      <c r="E17" s="4">
        <v>5.5</v>
      </c>
      <c r="F17" s="4">
        <v>5</v>
      </c>
      <c r="G17" s="4">
        <f t="shared" si="0"/>
        <v>5.1999999999999993</v>
      </c>
      <c r="H17" s="4"/>
    </row>
    <row r="18" spans="1:8" ht="15" customHeight="1">
      <c r="A18" s="4" t="s">
        <v>13</v>
      </c>
      <c r="B18" s="4" t="s">
        <v>23</v>
      </c>
      <c r="C18" s="4" t="s">
        <v>10</v>
      </c>
      <c r="D18" s="4">
        <v>4</v>
      </c>
      <c r="E18" s="4">
        <v>4</v>
      </c>
      <c r="F18" s="4">
        <v>4</v>
      </c>
      <c r="G18" s="4">
        <f t="shared" si="0"/>
        <v>4</v>
      </c>
      <c r="H18" s="4"/>
    </row>
    <row r="19" spans="1:8" ht="15" customHeight="1">
      <c r="A19" s="4" t="s">
        <v>8</v>
      </c>
      <c r="B19" s="4" t="s">
        <v>24</v>
      </c>
      <c r="C19" s="4" t="s">
        <v>10</v>
      </c>
      <c r="D19" s="4">
        <v>4.5</v>
      </c>
      <c r="E19" s="4">
        <v>4.5</v>
      </c>
      <c r="F19" s="4">
        <v>5</v>
      </c>
      <c r="G19" s="4">
        <f t="shared" si="0"/>
        <v>4.6999999999999993</v>
      </c>
      <c r="H19" s="4"/>
    </row>
    <row r="20" spans="1:8" ht="15" customHeight="1">
      <c r="A20" s="4" t="s">
        <v>11</v>
      </c>
      <c r="B20" s="4" t="s">
        <v>25</v>
      </c>
      <c r="C20" s="4" t="s">
        <v>10</v>
      </c>
      <c r="D20" s="4">
        <v>4</v>
      </c>
      <c r="E20" s="4">
        <v>4</v>
      </c>
      <c r="F20" s="4">
        <v>4</v>
      </c>
      <c r="G20" s="4">
        <f t="shared" si="0"/>
        <v>4</v>
      </c>
      <c r="H20" s="4"/>
    </row>
    <row r="21" spans="1:8" ht="15.75" customHeight="1">
      <c r="A21" s="4" t="s">
        <v>14</v>
      </c>
      <c r="B21" s="4" t="s">
        <v>26</v>
      </c>
      <c r="C21" s="4" t="s">
        <v>10</v>
      </c>
      <c r="D21" s="4">
        <v>4.5</v>
      </c>
      <c r="E21" s="4">
        <v>5</v>
      </c>
      <c r="F21" s="4">
        <v>4</v>
      </c>
      <c r="G21" s="4">
        <f t="shared" si="0"/>
        <v>4.5</v>
      </c>
      <c r="H21" s="4"/>
    </row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conditionalFormatting sqref="A1:H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/>
  <cols>
    <col min="1" max="1" width="76" customWidth="1"/>
    <col min="2" max="26" width="8.7109375" customWidth="1"/>
  </cols>
  <sheetData>
    <row r="1" spans="1:1">
      <c r="A1" s="2" t="s">
        <v>27</v>
      </c>
    </row>
    <row r="3" spans="1:1">
      <c r="A3" s="2" t="s">
        <v>28</v>
      </c>
    </row>
    <row r="4" spans="1:1">
      <c r="A4" s="2" t="s">
        <v>29</v>
      </c>
    </row>
    <row r="5" spans="1:1">
      <c r="A5" s="2" t="s">
        <v>30</v>
      </c>
    </row>
    <row r="6" spans="1:1">
      <c r="A6" s="2" t="s">
        <v>31</v>
      </c>
    </row>
    <row r="7" spans="1:1">
      <c r="A7" s="2" t="s">
        <v>32</v>
      </c>
    </row>
    <row r="8" spans="1:1">
      <c r="A8" s="2" t="s">
        <v>33</v>
      </c>
    </row>
    <row r="10" spans="1:1">
      <c r="A10" s="2" t="s">
        <v>34</v>
      </c>
    </row>
    <row r="11" spans="1:1">
      <c r="A11" s="2" t="s">
        <v>35</v>
      </c>
    </row>
    <row r="13" spans="1:1">
      <c r="A13" s="2" t="s">
        <v>36</v>
      </c>
    </row>
    <row r="15" spans="1:1">
      <c r="A15" s="2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2026-03-24T16:22:40Z</dcterms:created>
  <dcterms:modified xsi:type="dcterms:W3CDTF">2026-03-27T08:30:41Z</dcterms:modified>
  <cp:category/>
  <cp:contentStatus/>
</cp:coreProperties>
</file>