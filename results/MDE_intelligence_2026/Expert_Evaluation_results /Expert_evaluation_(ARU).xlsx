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drianrutle/Library/CloudStorage/OneDrive-HøgskulenpåVestlandet/folk/joshua/"/>
    </mc:Choice>
  </mc:AlternateContent>
  <xr:revisionPtr revIDLastSave="0" documentId="8_{B0F48BA0-0016-DE4C-9466-06E37CF2D07D}" xr6:coauthVersionLast="47" xr6:coauthVersionMax="47" xr10:uidLastSave="{00000000-0000-0000-0000-000000000000}"/>
  <bookViews>
    <workbookView xWindow="0" yWindow="660" windowWidth="34560" windowHeight="20580" activeTab="1" xr2:uid="{00000000-000D-0000-FFFF-FFFF00000000}"/>
  </bookViews>
  <sheets>
    <sheet name="FR Exp Eval" sheetId="4" r:id="rId1"/>
    <sheet name="AR  Exp Eval" sheetId="5" r:id="rId2"/>
    <sheet name="Instruction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tmYlIhJ96QvJfEjmI5lDJW6GkUQ2ODnbwnbm+do9gQ="/>
    </ext>
  </extLst>
</workbook>
</file>

<file path=xl/calcChain.xml><?xml version="1.0" encoding="utf-8"?>
<calcChain xmlns="http://schemas.openxmlformats.org/spreadsheetml/2006/main">
  <c r="G21" i="5" l="1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</calcChain>
</file>

<file path=xl/sharedStrings.xml><?xml version="1.0" encoding="utf-8"?>
<sst xmlns="http://schemas.openxmlformats.org/spreadsheetml/2006/main" count="167" uniqueCount="57">
  <si>
    <t>Pipeline</t>
  </si>
  <si>
    <t>FM_ID</t>
  </si>
  <si>
    <t>Relevance (Y/N)</t>
  </si>
  <si>
    <t>Feature Correctness (0-10)</t>
  </si>
  <si>
    <t>Structural Quality (0-10)</t>
  </si>
  <si>
    <t>Constraint Validity (0-10)</t>
  </si>
  <si>
    <t>Overall Score (0-10)</t>
  </si>
  <si>
    <t>Comments</t>
  </si>
  <si>
    <t>IS-NonRAG</t>
  </si>
  <si>
    <t>rank01_glm-4.7</t>
  </si>
  <si>
    <t>Y</t>
  </si>
  <si>
    <t>IS-RAG</t>
  </si>
  <si>
    <t>rank01_gpt-oss-120b</t>
  </si>
  <si>
    <t>SS-NonRAG</t>
  </si>
  <si>
    <t>SS-RAG</t>
  </si>
  <si>
    <t>rank02_gemini-3.1</t>
  </si>
  <si>
    <t>rank02_glm-4-7</t>
  </si>
  <si>
    <t>rank02_gpt-oss-120b</t>
  </si>
  <si>
    <t>rank03_deepseek-v3.2</t>
  </si>
  <si>
    <t>rank03_gpt-oss-120b</t>
  </si>
  <si>
    <t>rank04_deepseek-v3-2</t>
  </si>
  <si>
    <t>rank04_gemini-3.1</t>
  </si>
  <si>
    <t>rank04_gpt-oss-120b</t>
  </si>
  <si>
    <t>rank05_deepseek-v3-2</t>
  </si>
  <si>
    <t>rank05_gemini-3.1</t>
  </si>
  <si>
    <t>rank05_glm-4-7</t>
  </si>
  <si>
    <t>rank05_gpt-oss-120b</t>
  </si>
  <si>
    <t>Instructions for Expert Evaluation:</t>
  </si>
  <si>
    <t>For each Feature Model (FM), please evaluate based on:</t>
  </si>
  <si>
    <t>1. Relevance: Does the model reflect the domain? (Y/N)</t>
  </si>
  <si>
    <t>2. Feature Correctness: Accuracy of features (0–10)</t>
  </si>
  <si>
    <t>3. Structural Quality: Hierarchy and organization (0–10)</t>
  </si>
  <si>
    <t>4. Constraint Validity: Correctness of constraints (0–10)</t>
  </si>
  <si>
    <t>5. Overall Score: Overall quality judgment (0–10)</t>
  </si>
  <si>
    <t>You may refer to the ground-truth model, but do not require exact matching.</t>
  </si>
  <si>
    <t>Focus on semantic correctness and usefulness.</t>
  </si>
  <si>
    <t>Comments are optional but highly valuable.</t>
  </si>
  <si>
    <t>FM_ID: eg. rank03_deepseek-v3-2, rank02_gpt-oss-120b</t>
  </si>
  <si>
    <t>only optional features, a bit shorter but more informative</t>
  </si>
  <si>
    <t>too long and detailed, important concepts missing</t>
  </si>
  <si>
    <t>looks good wrt GT and looks logical</t>
  </si>
  <si>
    <t>the first 3 levels ok, but then it misses many low level concepts and features</t>
  </si>
  <si>
    <t>Very off wrt GT similarity</t>
  </si>
  <si>
    <t xml:space="preserve">Good number of features, but a lot of mess </t>
  </si>
  <si>
    <t>too many features, not all are related or relevant</t>
  </si>
  <si>
    <t>quite good in structruing the concepts, detailed engouhg</t>
  </si>
  <si>
    <t>not so different from ss-non rag</t>
  </si>
  <si>
    <t>detailed but does not abstract well, see the 12 requirements</t>
  </si>
  <si>
    <t>OK concepts but stll too many irrelevant features</t>
  </si>
  <si>
    <t>short but ok</t>
  </si>
  <si>
    <t>contains many of hte features but still not right in the sense of parent child relations</t>
  </si>
  <si>
    <t>too specific in some branches, link for example.</t>
  </si>
  <si>
    <t xml:space="preserve">Good in picking some federation approaches in addition, does not find link under structure </t>
  </si>
  <si>
    <t xml:space="preserve">only optional features, but this is true for all. It is may be too detailed </t>
  </si>
  <si>
    <t>Not worse than rank 2 IMO</t>
  </si>
  <si>
    <t>Good concepts and many features which are extracted make sense for the domain</t>
  </si>
  <si>
    <t>It works for me as a FM, nothing special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</si>
</sst>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18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93AD46-A417-4653-8D57-B0A68AD82C5D}" name="Table13" displayName="Table13" ref="A1:H21" totalsRowShown="0" headerRowDxfId="17">
  <autoFilter ref="A1:H21" xr:uid="{C92EE3BC-93BF-48DF-9238-28F00877AE19}"/>
  <sortState xmlns:xlrd2="http://schemas.microsoft.com/office/spreadsheetml/2017/richdata2" ref="A2:H21">
    <sortCondition ref="B1:B21"/>
  </sortState>
  <tableColumns count="8">
    <tableColumn id="1" xr3:uid="{1EF11A15-4329-42CB-9B5A-AC3A5EDA8F34}" name="Pipeline" dataDxfId="16"/>
    <tableColumn id="2" xr3:uid="{A6FACE06-6227-4DA9-8D90-4343DC16ACBF}" name="FM_ID" dataDxfId="15"/>
    <tableColumn id="3" xr3:uid="{F7D0C71E-D529-40E2-AB97-D6E8BEE64C0B}" name="Relevance (Y/N)" dataDxfId="14"/>
    <tableColumn id="4" xr3:uid="{52DC1B02-4437-4C71-BAB3-9285A687757F}" name="Feature Correctness (0-10)" dataDxfId="13"/>
    <tableColumn id="5" xr3:uid="{849158F8-02B9-40E7-A448-8D93891151AB}" name="Structural Quality (0-10)" dataDxfId="12"/>
    <tableColumn id="6" xr3:uid="{0801579A-2EB6-4C54-93A2-B2A6375C1D4C}" name="Constraint Validity (0-10)" dataDxfId="11"/>
    <tableColumn id="7" xr3:uid="{A9859BF2-9BA9-41B4-87EA-E4087D61A440}" name="Overall Score (0-10)" dataDxfId="10">
      <calculatedColumnFormula>ROUNDUP((D2+E2+F2)/3,1)</calculatedColumnFormula>
    </tableColumn>
    <tableColumn id="8" xr3:uid="{79C3FD00-6E32-4606-8F3C-D27C82138825}" name="Comments" dataDxfId="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F9ACF1-D117-2F4B-B28B-B257654D979D}" name="Table132" displayName="Table132" ref="A1:H21" totalsRowShown="0" headerRowDxfId="8">
  <autoFilter ref="A1:H21" xr:uid="{C92EE3BC-93BF-48DF-9238-28F00877AE19}"/>
  <sortState xmlns:xlrd2="http://schemas.microsoft.com/office/spreadsheetml/2017/richdata2" ref="A2:H21">
    <sortCondition ref="B1:B21"/>
  </sortState>
  <tableColumns count="8">
    <tableColumn id="1" xr3:uid="{1A131C47-AEBE-FA45-94E8-2E63300F0A2B}" name="Pipeline" dataDxfId="7"/>
    <tableColumn id="2" xr3:uid="{FA13807D-ECCB-A149-97DE-6C4569AC46C7}" name="FM_ID" dataDxfId="6"/>
    <tableColumn id="3" xr3:uid="{A7C712E5-31DB-D14D-81B7-6A97A1141C89}" name="Relevance (Y/N)" dataDxfId="5"/>
    <tableColumn id="4" xr3:uid="{36AB248B-C16E-C94C-A4EA-21C4B53CC3A1}" name="Feature Correctness (0-10)" dataDxfId="4"/>
    <tableColumn id="5" xr3:uid="{BEC63D8D-22D0-FE4B-BC42-A354A766E31B}" name="Structural Quality (0-10)" dataDxfId="3"/>
    <tableColumn id="6" xr3:uid="{239CB581-DA2E-E941-B277-A626B9517490}" name="Constraint Validity (0-10)" dataDxfId="2"/>
    <tableColumn id="7" xr3:uid="{1B7CE24E-C9D2-C64A-AFCC-2BE150C88BD1}" name="Overall Score (0-10)" dataDxfId="1">
      <calculatedColumnFormula>ROUNDUP((D2+E2+F2)/3,1)</calculatedColumnFormula>
    </tableColumn>
    <tableColumn id="8" xr3:uid="{0B12B5A5-546B-F449-8F79-9525D7B15EE7}" name="Comment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4899-D40A-47E6-962B-8A987DEB00AA}">
  <dimension ref="A1:Z980"/>
  <sheetViews>
    <sheetView workbookViewId="0">
      <selection activeCell="C42" sqref="C42"/>
    </sheetView>
  </sheetViews>
  <sheetFormatPr baseColWidth="10" defaultColWidth="14.5" defaultRowHeight="15" customHeight="1" x14ac:dyDescent="0.2"/>
  <cols>
    <col min="1" max="1" width="20.33203125" customWidth="1"/>
    <col min="2" max="2" width="23.83203125" customWidth="1"/>
    <col min="3" max="3" width="17.83203125" bestFit="1" customWidth="1"/>
    <col min="4" max="4" width="27.5" customWidth="1"/>
    <col min="5" max="5" width="27" customWidth="1"/>
    <col min="6" max="6" width="29" customWidth="1"/>
    <col min="7" max="7" width="21.33203125" customWidth="1"/>
    <col min="8" max="8" width="30.1640625" customWidth="1"/>
    <col min="9" max="26" width="8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3" t="s">
        <v>8</v>
      </c>
      <c r="B2" s="3" t="s">
        <v>9</v>
      </c>
      <c r="C2" s="4" t="s">
        <v>10</v>
      </c>
      <c r="D2" s="4">
        <v>6</v>
      </c>
      <c r="E2" s="4">
        <v>5</v>
      </c>
      <c r="F2" s="4">
        <v>5</v>
      </c>
      <c r="G2" s="4">
        <f t="shared" ref="G2:G21" si="0">ROUNDUP((D2+E2+F2)/3,1)</f>
        <v>5.3999999999999995</v>
      </c>
      <c r="H2" s="4"/>
    </row>
    <row r="3" spans="1:26" x14ac:dyDescent="0.2">
      <c r="A3" s="3" t="s">
        <v>11</v>
      </c>
      <c r="B3" s="3" t="s">
        <v>12</v>
      </c>
      <c r="C3" s="4" t="s">
        <v>10</v>
      </c>
      <c r="D3" s="4">
        <v>7</v>
      </c>
      <c r="E3" s="4">
        <v>7</v>
      </c>
      <c r="F3" s="4">
        <v>7</v>
      </c>
      <c r="G3" s="4">
        <f t="shared" si="0"/>
        <v>7</v>
      </c>
      <c r="H3" s="4"/>
    </row>
    <row r="4" spans="1:26" ht="15" customHeight="1" x14ac:dyDescent="0.2">
      <c r="A4" s="4" t="s">
        <v>13</v>
      </c>
      <c r="B4" s="4" t="s">
        <v>12</v>
      </c>
      <c r="C4" s="4" t="s">
        <v>10</v>
      </c>
      <c r="D4" s="4">
        <v>5</v>
      </c>
      <c r="E4" s="4">
        <v>5</v>
      </c>
      <c r="F4" s="4">
        <v>4</v>
      </c>
      <c r="G4" s="4">
        <f t="shared" si="0"/>
        <v>4.6999999999999993</v>
      </c>
      <c r="H4" s="4"/>
    </row>
    <row r="5" spans="1:26" ht="15" customHeight="1" x14ac:dyDescent="0.2">
      <c r="A5" s="4" t="s">
        <v>14</v>
      </c>
      <c r="B5" s="4" t="s">
        <v>12</v>
      </c>
      <c r="C5" s="4" t="s">
        <v>10</v>
      </c>
      <c r="D5" s="4">
        <v>6</v>
      </c>
      <c r="E5" s="4">
        <v>5</v>
      </c>
      <c r="F5" s="4">
        <v>4</v>
      </c>
      <c r="G5" s="4">
        <f t="shared" si="0"/>
        <v>5</v>
      </c>
      <c r="H5" s="4"/>
    </row>
    <row r="6" spans="1:26" ht="15" customHeight="1" x14ac:dyDescent="0.2">
      <c r="A6" s="4" t="s">
        <v>8</v>
      </c>
      <c r="B6" s="4" t="s">
        <v>15</v>
      </c>
      <c r="C6" s="4" t="s">
        <v>10</v>
      </c>
      <c r="D6" s="4">
        <v>4.5</v>
      </c>
      <c r="E6" s="4">
        <v>4</v>
      </c>
      <c r="F6" s="4">
        <v>4</v>
      </c>
      <c r="G6" s="4">
        <f t="shared" si="0"/>
        <v>4.1999999999999993</v>
      </c>
      <c r="H6" s="4"/>
    </row>
    <row r="7" spans="1:26" ht="15" customHeight="1" x14ac:dyDescent="0.2">
      <c r="A7" s="4" t="s">
        <v>11</v>
      </c>
      <c r="B7" s="4" t="s">
        <v>16</v>
      </c>
      <c r="C7" s="4" t="s">
        <v>10</v>
      </c>
      <c r="D7" s="4">
        <v>5</v>
      </c>
      <c r="E7" s="4">
        <v>4</v>
      </c>
      <c r="F7" s="4">
        <v>4</v>
      </c>
      <c r="G7" s="4">
        <f t="shared" si="0"/>
        <v>4.3999999999999995</v>
      </c>
      <c r="H7" s="4"/>
    </row>
    <row r="8" spans="1:26" ht="15" customHeight="1" x14ac:dyDescent="0.2">
      <c r="A8" s="4" t="s">
        <v>13</v>
      </c>
      <c r="B8" s="4" t="s">
        <v>17</v>
      </c>
      <c r="C8" s="4" t="s">
        <v>10</v>
      </c>
      <c r="D8" s="4">
        <v>5</v>
      </c>
      <c r="E8" s="4">
        <v>7</v>
      </c>
      <c r="F8" s="4">
        <v>4</v>
      </c>
      <c r="G8" s="4">
        <f t="shared" si="0"/>
        <v>5.3999999999999995</v>
      </c>
      <c r="H8" s="4"/>
    </row>
    <row r="9" spans="1:26" ht="15" customHeight="1" x14ac:dyDescent="0.2">
      <c r="A9" s="4" t="s">
        <v>14</v>
      </c>
      <c r="B9" s="4" t="s">
        <v>17</v>
      </c>
      <c r="C9" s="4" t="s">
        <v>10</v>
      </c>
      <c r="D9" s="4">
        <v>5.5</v>
      </c>
      <c r="E9" s="4">
        <v>6</v>
      </c>
      <c r="F9" s="4">
        <v>4</v>
      </c>
      <c r="G9" s="4">
        <f t="shared" si="0"/>
        <v>5.1999999999999993</v>
      </c>
      <c r="H9" s="4"/>
    </row>
    <row r="10" spans="1:26" ht="15" customHeight="1" x14ac:dyDescent="0.2">
      <c r="A10" s="4" t="s">
        <v>8</v>
      </c>
      <c r="B10" s="4" t="s">
        <v>18</v>
      </c>
      <c r="C10" s="4" t="s">
        <v>10</v>
      </c>
      <c r="D10" s="4">
        <v>4</v>
      </c>
      <c r="E10" s="4">
        <v>4</v>
      </c>
      <c r="F10" s="4">
        <v>4</v>
      </c>
      <c r="G10" s="4">
        <f t="shared" si="0"/>
        <v>4</v>
      </c>
      <c r="H10" s="4"/>
    </row>
    <row r="11" spans="1:26" ht="15" customHeight="1" x14ac:dyDescent="0.2">
      <c r="A11" s="4" t="s">
        <v>11</v>
      </c>
      <c r="B11" s="4" t="s">
        <v>19</v>
      </c>
      <c r="C11" s="4" t="s">
        <v>10</v>
      </c>
      <c r="D11" s="4">
        <v>5</v>
      </c>
      <c r="E11" s="4">
        <v>5.5</v>
      </c>
      <c r="F11" s="4">
        <v>5</v>
      </c>
      <c r="G11" s="4">
        <f t="shared" si="0"/>
        <v>5.1999999999999993</v>
      </c>
      <c r="H11" s="4"/>
    </row>
    <row r="12" spans="1:26" ht="15" customHeight="1" x14ac:dyDescent="0.2">
      <c r="A12" s="4" t="s">
        <v>13</v>
      </c>
      <c r="B12" s="4" t="s">
        <v>19</v>
      </c>
      <c r="C12" s="4" t="s">
        <v>10</v>
      </c>
      <c r="D12" s="4">
        <v>5</v>
      </c>
      <c r="E12" s="4">
        <v>4.5</v>
      </c>
      <c r="F12" s="4">
        <v>4</v>
      </c>
      <c r="G12" s="4">
        <f t="shared" si="0"/>
        <v>4.5</v>
      </c>
      <c r="H12" s="4"/>
    </row>
    <row r="13" spans="1:26" ht="15" customHeight="1" x14ac:dyDescent="0.2">
      <c r="A13" s="4" t="s">
        <v>14</v>
      </c>
      <c r="B13" s="4" t="s">
        <v>19</v>
      </c>
      <c r="C13" s="4" t="s">
        <v>10</v>
      </c>
      <c r="D13" s="4">
        <v>4</v>
      </c>
      <c r="E13" s="4">
        <v>4</v>
      </c>
      <c r="F13" s="4">
        <v>4</v>
      </c>
      <c r="G13" s="4">
        <f t="shared" si="0"/>
        <v>4</v>
      </c>
      <c r="H13" s="4"/>
    </row>
    <row r="14" spans="1:26" ht="15" customHeight="1" x14ac:dyDescent="0.2">
      <c r="A14" s="4" t="s">
        <v>13</v>
      </c>
      <c r="B14" s="4" t="s">
        <v>20</v>
      </c>
      <c r="C14" s="4" t="s">
        <v>10</v>
      </c>
      <c r="D14" s="4">
        <v>4.5</v>
      </c>
      <c r="E14" s="4">
        <v>5</v>
      </c>
      <c r="F14" s="4">
        <v>5</v>
      </c>
      <c r="G14" s="4">
        <f t="shared" si="0"/>
        <v>4.8999999999999995</v>
      </c>
      <c r="H14" s="4"/>
    </row>
    <row r="15" spans="1:26" ht="15" customHeight="1" x14ac:dyDescent="0.2">
      <c r="A15" s="4" t="s">
        <v>8</v>
      </c>
      <c r="B15" s="4" t="s">
        <v>21</v>
      </c>
      <c r="C15" s="4" t="s">
        <v>10</v>
      </c>
      <c r="D15" s="4">
        <v>3</v>
      </c>
      <c r="E15" s="4">
        <v>3</v>
      </c>
      <c r="F15" s="4">
        <v>4</v>
      </c>
      <c r="G15" s="4">
        <f t="shared" si="0"/>
        <v>3.4</v>
      </c>
      <c r="H15" s="4"/>
    </row>
    <row r="16" spans="1:26" ht="15" customHeight="1" x14ac:dyDescent="0.2">
      <c r="A16" s="4" t="s">
        <v>11</v>
      </c>
      <c r="B16" s="4" t="s">
        <v>22</v>
      </c>
      <c r="C16" s="4" t="s">
        <v>10</v>
      </c>
      <c r="D16" s="4">
        <v>6.5</v>
      </c>
      <c r="E16" s="4">
        <v>6</v>
      </c>
      <c r="F16" s="4">
        <v>5</v>
      </c>
      <c r="G16" s="4">
        <f t="shared" si="0"/>
        <v>5.8999999999999995</v>
      </c>
      <c r="H16" s="4"/>
    </row>
    <row r="17" spans="1:8" ht="15" customHeight="1" x14ac:dyDescent="0.2">
      <c r="A17" s="4" t="s">
        <v>14</v>
      </c>
      <c r="B17" s="4" t="s">
        <v>22</v>
      </c>
      <c r="C17" s="4" t="s">
        <v>10</v>
      </c>
      <c r="D17" s="4">
        <v>5</v>
      </c>
      <c r="E17" s="4">
        <v>5.5</v>
      </c>
      <c r="F17" s="4">
        <v>5</v>
      </c>
      <c r="G17" s="4">
        <f t="shared" si="0"/>
        <v>5.1999999999999993</v>
      </c>
      <c r="H17" s="4"/>
    </row>
    <row r="18" spans="1:8" ht="15" customHeight="1" x14ac:dyDescent="0.2">
      <c r="A18" s="4" t="s">
        <v>13</v>
      </c>
      <c r="B18" s="4" t="s">
        <v>23</v>
      </c>
      <c r="C18" s="4" t="s">
        <v>10</v>
      </c>
      <c r="D18" s="4">
        <v>4</v>
      </c>
      <c r="E18" s="4">
        <v>4</v>
      </c>
      <c r="F18" s="4">
        <v>4</v>
      </c>
      <c r="G18" s="4">
        <f t="shared" si="0"/>
        <v>4</v>
      </c>
      <c r="H18" s="4"/>
    </row>
    <row r="19" spans="1:8" ht="15" customHeight="1" x14ac:dyDescent="0.2">
      <c r="A19" s="4" t="s">
        <v>8</v>
      </c>
      <c r="B19" s="4" t="s">
        <v>24</v>
      </c>
      <c r="C19" s="4" t="s">
        <v>10</v>
      </c>
      <c r="D19" s="4">
        <v>4.5</v>
      </c>
      <c r="E19" s="4">
        <v>4.5</v>
      </c>
      <c r="F19" s="4">
        <v>5</v>
      </c>
      <c r="G19" s="4">
        <f t="shared" si="0"/>
        <v>4.6999999999999993</v>
      </c>
      <c r="H19" s="4"/>
    </row>
    <row r="20" spans="1:8" ht="15" customHeight="1" x14ac:dyDescent="0.2">
      <c r="A20" s="4" t="s">
        <v>11</v>
      </c>
      <c r="B20" s="4" t="s">
        <v>25</v>
      </c>
      <c r="C20" s="4" t="s">
        <v>10</v>
      </c>
      <c r="D20" s="4">
        <v>4</v>
      </c>
      <c r="E20" s="4">
        <v>4</v>
      </c>
      <c r="F20" s="4">
        <v>4</v>
      </c>
      <c r="G20" s="4">
        <f t="shared" si="0"/>
        <v>4</v>
      </c>
      <c r="H20" s="4"/>
    </row>
    <row r="21" spans="1:8" ht="15.75" customHeight="1" x14ac:dyDescent="0.2">
      <c r="A21" s="4" t="s">
        <v>14</v>
      </c>
      <c r="B21" s="4" t="s">
        <v>26</v>
      </c>
      <c r="C21" s="4" t="s">
        <v>10</v>
      </c>
      <c r="D21" s="4">
        <v>4.5</v>
      </c>
      <c r="E21" s="4">
        <v>5</v>
      </c>
      <c r="F21" s="4">
        <v>4</v>
      </c>
      <c r="G21" s="4">
        <f t="shared" si="0"/>
        <v>4.5</v>
      </c>
      <c r="H21" s="4"/>
    </row>
    <row r="22" spans="1:8" ht="15.75" customHeight="1" x14ac:dyDescent="0.2"/>
    <row r="23" spans="1:8" ht="15.75" customHeight="1" x14ac:dyDescent="0.2"/>
    <row r="24" spans="1:8" ht="15.75" customHeight="1" x14ac:dyDescent="0.2"/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</sheetData>
  <conditionalFormatting sqref="A1:H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8D23-6F81-6546-A1EA-DA805AC9B994}">
  <dimension ref="A1:Z980"/>
  <sheetViews>
    <sheetView tabSelected="1" workbookViewId="0">
      <selection activeCell="F37" sqref="F37"/>
    </sheetView>
  </sheetViews>
  <sheetFormatPr baseColWidth="10" defaultColWidth="14.5" defaultRowHeight="15" customHeight="1" x14ac:dyDescent="0.2"/>
  <cols>
    <col min="1" max="1" width="20.33203125" customWidth="1"/>
    <col min="2" max="2" width="23.83203125" customWidth="1"/>
    <col min="3" max="3" width="17.83203125" bestFit="1" customWidth="1"/>
    <col min="4" max="4" width="27.5" customWidth="1"/>
    <col min="5" max="5" width="27" customWidth="1"/>
    <col min="6" max="6" width="29" customWidth="1"/>
    <col min="7" max="7" width="21.33203125" customWidth="1"/>
    <col min="8" max="8" width="30.1640625" customWidth="1"/>
    <col min="9" max="26" width="8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3" t="s">
        <v>8</v>
      </c>
      <c r="B2" s="3" t="s">
        <v>9</v>
      </c>
      <c r="C2" s="4" t="s">
        <v>10</v>
      </c>
      <c r="D2" s="4">
        <v>5</v>
      </c>
      <c r="E2" s="4">
        <v>4</v>
      </c>
      <c r="F2" s="4">
        <v>5</v>
      </c>
      <c r="G2" s="4">
        <f t="shared" ref="G2:G21" si="0">ROUNDUP((D2+E2+F2)/3,1)</f>
        <v>4.6999999999999993</v>
      </c>
      <c r="H2" s="3" t="s">
        <v>39</v>
      </c>
    </row>
    <row r="3" spans="1:26" x14ac:dyDescent="0.2">
      <c r="A3" s="3" t="s">
        <v>11</v>
      </c>
      <c r="B3" s="3" t="s">
        <v>12</v>
      </c>
      <c r="C3" s="4" t="s">
        <v>10</v>
      </c>
      <c r="D3" s="4">
        <v>7</v>
      </c>
      <c r="E3" s="4">
        <v>7</v>
      </c>
      <c r="F3" s="4">
        <v>7</v>
      </c>
      <c r="G3" s="4">
        <f t="shared" si="0"/>
        <v>7</v>
      </c>
      <c r="H3" s="3" t="s">
        <v>40</v>
      </c>
    </row>
    <row r="4" spans="1:26" ht="15" customHeight="1" x14ac:dyDescent="0.2">
      <c r="A4" s="4" t="s">
        <v>13</v>
      </c>
      <c r="B4" s="4" t="s">
        <v>12</v>
      </c>
      <c r="C4" s="4" t="s">
        <v>10</v>
      </c>
      <c r="D4" s="4">
        <v>4</v>
      </c>
      <c r="E4" s="4">
        <v>5</v>
      </c>
      <c r="F4" s="4">
        <v>4</v>
      </c>
      <c r="G4" s="4">
        <f t="shared" si="0"/>
        <v>4.3999999999999995</v>
      </c>
      <c r="H4" s="3" t="s">
        <v>41</v>
      </c>
    </row>
    <row r="5" spans="1:26" ht="15" customHeight="1" x14ac:dyDescent="0.2">
      <c r="A5" s="4" t="s">
        <v>14</v>
      </c>
      <c r="B5" s="4" t="s">
        <v>12</v>
      </c>
      <c r="C5" s="4" t="s">
        <v>10</v>
      </c>
      <c r="D5" s="4">
        <v>4</v>
      </c>
      <c r="E5" s="4">
        <v>5</v>
      </c>
      <c r="F5" s="4">
        <v>4</v>
      </c>
      <c r="G5" s="4">
        <f t="shared" si="0"/>
        <v>4.3999999999999995</v>
      </c>
      <c r="H5" s="3" t="s">
        <v>42</v>
      </c>
    </row>
    <row r="6" spans="1:26" ht="15" customHeight="1" x14ac:dyDescent="0.2">
      <c r="A6" s="4" t="s">
        <v>8</v>
      </c>
      <c r="B6" s="4" t="s">
        <v>15</v>
      </c>
      <c r="C6" s="4" t="s">
        <v>10</v>
      </c>
      <c r="D6" s="4">
        <v>4</v>
      </c>
      <c r="E6" s="4">
        <v>4</v>
      </c>
      <c r="F6" s="4">
        <v>4</v>
      </c>
      <c r="G6" s="4">
        <f t="shared" si="0"/>
        <v>4</v>
      </c>
      <c r="H6" s="3" t="s">
        <v>43</v>
      </c>
    </row>
    <row r="7" spans="1:26" ht="15" customHeight="1" x14ac:dyDescent="0.2">
      <c r="A7" s="4" t="s">
        <v>11</v>
      </c>
      <c r="B7" s="4" t="s">
        <v>16</v>
      </c>
      <c r="C7" s="4" t="s">
        <v>10</v>
      </c>
      <c r="D7" s="4">
        <v>5</v>
      </c>
      <c r="E7" s="4">
        <v>4</v>
      </c>
      <c r="F7" s="4">
        <v>4</v>
      </c>
      <c r="G7" s="4">
        <f t="shared" si="0"/>
        <v>4.3999999999999995</v>
      </c>
      <c r="H7" s="3" t="s">
        <v>44</v>
      </c>
    </row>
    <row r="8" spans="1:26" ht="15" customHeight="1" x14ac:dyDescent="0.2">
      <c r="A8" s="4" t="s">
        <v>13</v>
      </c>
      <c r="B8" s="4" t="s">
        <v>17</v>
      </c>
      <c r="C8" s="4" t="s">
        <v>10</v>
      </c>
      <c r="D8" s="4">
        <v>6</v>
      </c>
      <c r="E8" s="4">
        <v>7</v>
      </c>
      <c r="F8" s="4">
        <v>4</v>
      </c>
      <c r="G8" s="4">
        <f t="shared" si="0"/>
        <v>5.6999999999999993</v>
      </c>
      <c r="H8" s="3" t="s">
        <v>45</v>
      </c>
    </row>
    <row r="9" spans="1:26" ht="15" customHeight="1" x14ac:dyDescent="0.2">
      <c r="A9" s="4" t="s">
        <v>14</v>
      </c>
      <c r="B9" s="4" t="s">
        <v>17</v>
      </c>
      <c r="C9" s="4" t="s">
        <v>10</v>
      </c>
      <c r="D9" s="4">
        <v>6</v>
      </c>
      <c r="E9" s="4">
        <v>6</v>
      </c>
      <c r="F9" s="4">
        <v>4</v>
      </c>
      <c r="G9" s="4">
        <f t="shared" si="0"/>
        <v>5.3999999999999995</v>
      </c>
      <c r="H9" s="3" t="s">
        <v>46</v>
      </c>
    </row>
    <row r="10" spans="1:26" ht="15" customHeight="1" x14ac:dyDescent="0.2">
      <c r="A10" s="4" t="s">
        <v>8</v>
      </c>
      <c r="B10" s="4" t="s">
        <v>18</v>
      </c>
      <c r="C10" s="4" t="s">
        <v>10</v>
      </c>
      <c r="D10" s="4">
        <v>5</v>
      </c>
      <c r="E10" s="4">
        <v>4</v>
      </c>
      <c r="F10" s="4">
        <v>4</v>
      </c>
      <c r="G10" s="4">
        <f t="shared" si="0"/>
        <v>4.3999999999999995</v>
      </c>
      <c r="H10" s="3" t="s">
        <v>47</v>
      </c>
    </row>
    <row r="11" spans="1:26" ht="15" customHeight="1" x14ac:dyDescent="0.2">
      <c r="A11" s="4" t="s">
        <v>11</v>
      </c>
      <c r="B11" s="4" t="s">
        <v>19</v>
      </c>
      <c r="C11" s="4" t="s">
        <v>10</v>
      </c>
      <c r="D11" s="4">
        <v>5</v>
      </c>
      <c r="E11" s="4">
        <v>5</v>
      </c>
      <c r="F11" s="4">
        <v>5</v>
      </c>
      <c r="G11" s="4">
        <f t="shared" si="0"/>
        <v>5</v>
      </c>
      <c r="H11" s="3" t="s">
        <v>48</v>
      </c>
    </row>
    <row r="12" spans="1:26" ht="15" customHeight="1" x14ac:dyDescent="0.2">
      <c r="A12" s="4" t="s">
        <v>13</v>
      </c>
      <c r="B12" s="4" t="s">
        <v>19</v>
      </c>
      <c r="C12" s="4" t="s">
        <v>10</v>
      </c>
      <c r="D12" s="4">
        <v>4</v>
      </c>
      <c r="E12" s="4">
        <v>4</v>
      </c>
      <c r="F12" s="4">
        <v>4</v>
      </c>
      <c r="G12" s="4">
        <f t="shared" si="0"/>
        <v>4</v>
      </c>
      <c r="H12" s="3" t="s">
        <v>49</v>
      </c>
    </row>
    <row r="13" spans="1:26" ht="15" customHeight="1" x14ac:dyDescent="0.2">
      <c r="A13" s="4" t="s">
        <v>14</v>
      </c>
      <c r="B13" s="4" t="s">
        <v>19</v>
      </c>
      <c r="C13" s="4" t="s">
        <v>10</v>
      </c>
      <c r="D13" s="4">
        <v>4.5</v>
      </c>
      <c r="E13" s="4">
        <v>4</v>
      </c>
      <c r="F13" s="4">
        <v>4</v>
      </c>
      <c r="G13" s="4">
        <f t="shared" si="0"/>
        <v>4.1999999999999993</v>
      </c>
      <c r="H13" s="3" t="s">
        <v>50</v>
      </c>
    </row>
    <row r="14" spans="1:26" ht="15" customHeight="1" x14ac:dyDescent="0.2">
      <c r="A14" s="4" t="s">
        <v>13</v>
      </c>
      <c r="B14" s="4" t="s">
        <v>20</v>
      </c>
      <c r="C14" s="4" t="s">
        <v>10</v>
      </c>
      <c r="D14" s="4">
        <v>6</v>
      </c>
      <c r="E14" s="4">
        <v>5</v>
      </c>
      <c r="F14" s="4">
        <v>5</v>
      </c>
      <c r="G14" s="4">
        <f t="shared" si="0"/>
        <v>5.3999999999999995</v>
      </c>
      <c r="H14" s="3" t="s">
        <v>51</v>
      </c>
    </row>
    <row r="15" spans="1:26" ht="15" customHeight="1" x14ac:dyDescent="0.2">
      <c r="A15" s="4" t="s">
        <v>8</v>
      </c>
      <c r="B15" s="4" t="s">
        <v>21</v>
      </c>
      <c r="C15" s="4" t="s">
        <v>10</v>
      </c>
      <c r="D15" s="4">
        <v>6</v>
      </c>
      <c r="E15" s="4">
        <v>6</v>
      </c>
      <c r="F15" s="4">
        <v>5</v>
      </c>
      <c r="G15" s="4">
        <f t="shared" si="0"/>
        <v>5.6999999999999993</v>
      </c>
      <c r="H15" s="3" t="s">
        <v>52</v>
      </c>
    </row>
    <row r="16" spans="1:26" ht="15" customHeight="1" x14ac:dyDescent="0.2">
      <c r="A16" s="4" t="s">
        <v>11</v>
      </c>
      <c r="B16" s="4" t="s">
        <v>22</v>
      </c>
      <c r="C16" s="4" t="s">
        <v>10</v>
      </c>
      <c r="D16" s="4">
        <v>6</v>
      </c>
      <c r="E16" s="4">
        <v>6</v>
      </c>
      <c r="F16" s="4">
        <v>5</v>
      </c>
      <c r="G16" s="4">
        <f t="shared" si="0"/>
        <v>5.6999999999999993</v>
      </c>
      <c r="H16" s="3" t="s">
        <v>53</v>
      </c>
    </row>
    <row r="17" spans="1:8" ht="15" customHeight="1" x14ac:dyDescent="0.2">
      <c r="A17" s="4" t="s">
        <v>14</v>
      </c>
      <c r="B17" s="4" t="s">
        <v>22</v>
      </c>
      <c r="C17" s="4" t="s">
        <v>10</v>
      </c>
      <c r="D17" s="4">
        <v>6.5</v>
      </c>
      <c r="E17" s="4">
        <v>6</v>
      </c>
      <c r="F17" s="4">
        <v>5</v>
      </c>
      <c r="G17" s="4">
        <f t="shared" si="0"/>
        <v>5.8999999999999995</v>
      </c>
      <c r="H17" s="3" t="s">
        <v>38</v>
      </c>
    </row>
    <row r="18" spans="1:8" ht="15" customHeight="1" x14ac:dyDescent="0.2">
      <c r="A18" s="4" t="s">
        <v>13</v>
      </c>
      <c r="B18" s="4" t="s">
        <v>23</v>
      </c>
      <c r="C18" s="4" t="s">
        <v>10</v>
      </c>
      <c r="D18" s="4">
        <v>5</v>
      </c>
      <c r="E18" s="4">
        <v>4</v>
      </c>
      <c r="F18" s="4">
        <v>4</v>
      </c>
      <c r="G18" s="4">
        <f t="shared" si="0"/>
        <v>4.3999999999999995</v>
      </c>
      <c r="H18" s="3" t="s">
        <v>54</v>
      </c>
    </row>
    <row r="19" spans="1:8" ht="15" customHeight="1" x14ac:dyDescent="0.2">
      <c r="A19" s="4" t="s">
        <v>8</v>
      </c>
      <c r="B19" s="4" t="s">
        <v>24</v>
      </c>
      <c r="C19" s="4" t="s">
        <v>10</v>
      </c>
      <c r="D19" s="4">
        <v>5</v>
      </c>
      <c r="E19" s="4">
        <v>4.5</v>
      </c>
      <c r="F19" s="4">
        <v>5</v>
      </c>
      <c r="G19" s="4">
        <f t="shared" si="0"/>
        <v>4.8999999999999995</v>
      </c>
      <c r="H19" s="3" t="s">
        <v>48</v>
      </c>
    </row>
    <row r="20" spans="1:8" ht="15" customHeight="1" x14ac:dyDescent="0.2">
      <c r="A20" s="4" t="s">
        <v>11</v>
      </c>
      <c r="B20" s="4" t="s">
        <v>25</v>
      </c>
      <c r="C20" s="4" t="s">
        <v>10</v>
      </c>
      <c r="D20" s="4">
        <v>6</v>
      </c>
      <c r="E20" s="4">
        <v>6</v>
      </c>
      <c r="F20" s="4">
        <v>5</v>
      </c>
      <c r="G20" s="4">
        <f t="shared" si="0"/>
        <v>5.6999999999999993</v>
      </c>
      <c r="H20" s="3" t="s">
        <v>55</v>
      </c>
    </row>
    <row r="21" spans="1:8" ht="15.75" customHeight="1" x14ac:dyDescent="0.2">
      <c r="A21" s="4" t="s">
        <v>14</v>
      </c>
      <c r="B21" s="4" t="s">
        <v>26</v>
      </c>
      <c r="C21" s="4" t="s">
        <v>10</v>
      </c>
      <c r="D21" s="4">
        <v>6</v>
      </c>
      <c r="E21" s="4">
        <v>5</v>
      </c>
      <c r="F21" s="4">
        <v>5</v>
      </c>
      <c r="G21" s="4">
        <f t="shared" si="0"/>
        <v>5.3999999999999995</v>
      </c>
      <c r="H21" s="3" t="s">
        <v>56</v>
      </c>
    </row>
    <row r="22" spans="1:8" ht="15.75" customHeight="1" x14ac:dyDescent="0.2"/>
    <row r="23" spans="1:8" ht="15.75" customHeight="1" x14ac:dyDescent="0.2"/>
    <row r="24" spans="1:8" ht="15.75" customHeight="1" x14ac:dyDescent="0.2"/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</sheetData>
  <conditionalFormatting sqref="A1:H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5" defaultRowHeight="15" customHeight="1" x14ac:dyDescent="0.2"/>
  <cols>
    <col min="1" max="1" width="76" customWidth="1"/>
    <col min="2" max="26" width="8.6640625" customWidth="1"/>
  </cols>
  <sheetData>
    <row r="1" spans="1:1" x14ac:dyDescent="0.2">
      <c r="A1" s="2" t="s">
        <v>27</v>
      </c>
    </row>
    <row r="3" spans="1:1" x14ac:dyDescent="0.2">
      <c r="A3" s="2" t="s">
        <v>28</v>
      </c>
    </row>
    <row r="4" spans="1:1" x14ac:dyDescent="0.2">
      <c r="A4" s="2" t="s">
        <v>29</v>
      </c>
    </row>
    <row r="5" spans="1:1" x14ac:dyDescent="0.2">
      <c r="A5" s="2" t="s">
        <v>30</v>
      </c>
    </row>
    <row r="6" spans="1:1" x14ac:dyDescent="0.2">
      <c r="A6" s="2" t="s">
        <v>31</v>
      </c>
    </row>
    <row r="7" spans="1:1" x14ac:dyDescent="0.2">
      <c r="A7" s="2" t="s">
        <v>32</v>
      </c>
    </row>
    <row r="8" spans="1:1" x14ac:dyDescent="0.2">
      <c r="A8" s="2" t="s">
        <v>33</v>
      </c>
    </row>
    <row r="10" spans="1:1" x14ac:dyDescent="0.2">
      <c r="A10" s="2" t="s">
        <v>34</v>
      </c>
    </row>
    <row r="11" spans="1:1" x14ac:dyDescent="0.2">
      <c r="A11" s="2" t="s">
        <v>35</v>
      </c>
    </row>
    <row r="13" spans="1:1" x14ac:dyDescent="0.2">
      <c r="A13" s="2" t="s">
        <v>36</v>
      </c>
    </row>
    <row r="15" spans="1:1" x14ac:dyDescent="0.2">
      <c r="A15" s="2" t="s">
        <v>37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FR Exp Eval</vt:lpstr>
      <vt:lpstr>AR  Exp Eval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Adrian Rutle</cp:lastModifiedBy>
  <cp:revision/>
  <dcterms:created xsi:type="dcterms:W3CDTF">2026-03-24T16:22:40Z</dcterms:created>
  <dcterms:modified xsi:type="dcterms:W3CDTF">2026-03-27T14:14:22Z</dcterms:modified>
  <cp:category/>
  <cp:contentStatus/>
</cp:coreProperties>
</file>